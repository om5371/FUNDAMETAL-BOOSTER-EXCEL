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m\Excel Works\"/>
    </mc:Choice>
  </mc:AlternateContent>
  <xr:revisionPtr revIDLastSave="0" documentId="13_ncr:1_{A9990F79-FF5C-4C0F-A3FE-2A41EA0FAA21}" xr6:coauthVersionLast="47" xr6:coauthVersionMax="47" xr10:uidLastSave="{00000000-0000-0000-0000-000000000000}"/>
  <bookViews>
    <workbookView xWindow="-108" yWindow="-108" windowWidth="16608" windowHeight="8832" activeTab="1" xr2:uid="{18C8D773-A65B-457F-B1D1-45C921C9922F}"/>
  </bookViews>
  <sheets>
    <sheet name="STUDENT GRADE" sheetId="2" r:id="rId1"/>
    <sheet name="SALES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3" i="3" l="1"/>
  <c r="X16" i="3"/>
  <c r="X15" i="3"/>
  <c r="X14" i="3"/>
  <c r="X13" i="3"/>
  <c r="W13" i="3"/>
  <c r="W16" i="3"/>
  <c r="W15" i="3"/>
  <c r="W14" i="3"/>
  <c r="V16" i="3"/>
  <c r="V15" i="3"/>
  <c r="V14" i="3"/>
  <c r="U16" i="3"/>
  <c r="U15" i="3"/>
  <c r="U13" i="3"/>
  <c r="U14" i="3"/>
  <c r="T16" i="3"/>
  <c r="T15" i="3"/>
  <c r="T14" i="3"/>
  <c r="T13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11" i="3"/>
  <c r="AE13" i="2"/>
  <c r="AJ6" i="2"/>
  <c r="AJ1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14" i="2"/>
  <c r="L4" i="3"/>
  <c r="M6" i="2" a="1"/>
  <c r="M6" i="2" s="1"/>
  <c r="U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<sst xmlns="http://schemas.openxmlformats.org/spreadsheetml/2006/main" count="217" uniqueCount="92">
  <si>
    <t>NAME</t>
  </si>
  <si>
    <t>GRADE</t>
  </si>
  <si>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</si>
  <si>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</si>
  <si>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</si>
  <si>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</si>
  <si>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</si>
  <si>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</si>
  <si>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</si>
  <si>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</si>
  <si>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</si>
  <si>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</si>
  <si>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</si>
  <si>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</si>
  <si>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</si>
  <si>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</si>
  <si>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</si>
  <si>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</si>
  <si>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</si>
  <si>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</si>
  <si>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</si>
  <si>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</si>
  <si>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</si>
  <si>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</si>
  <si>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</si>
  <si>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</si>
  <si>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</si>
  <si>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</si>
  <si>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PERCENTAGE</t>
  </si>
  <si>
    <t>COUNT STUDENTS ABOVE 60 MARKS</t>
  </si>
  <si>
    <t>FILTER FUNCTION TO EXTRACT STUDENTS SCORING ABOVE 80</t>
  </si>
  <si>
    <t>MATH</t>
  </si>
  <si>
    <t>SCIENCE</t>
  </si>
  <si>
    <t>ENGLISH</t>
  </si>
  <si>
    <t>DATE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</si>
  <si>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</si>
  <si>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</si>
  <si>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</si>
  <si>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</si>
  <si>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</si>
  <si>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</si>
  <si>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</si>
  <si>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</si>
  <si>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</si>
  <si>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</si>
  <si>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</si>
  <si>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</si>
  <si>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</si>
  <si>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</si>
  <si>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</si>
  <si>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</si>
  <si>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</si>
  <si>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</si>
  <si>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</si>
  <si>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</si>
  <si>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</si>
  <si>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</si>
  <si>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</si>
  <si>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</si>
  <si>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</si>
  <si>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</si>
  <si>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</si>
  <si>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</si>
  <si>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</si>
  <si>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</si>
  <si>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</si>
  <si>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</si>
  <si>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</si>
  <si>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</si>
  <si>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</si>
  <si>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SEARCH PRODUCT PRICE FROM SALES DATA</t>
  </si>
  <si>
    <t>SALES ID</t>
  </si>
  <si>
    <t>AMOUNT</t>
  </si>
  <si>
    <t>STUDENT SCORE ABOVE 80 MARKS IN MATHS AND SCIENCE</t>
  </si>
  <si>
    <t>SCORE ABOVE 80</t>
  </si>
  <si>
    <t>COUNT STUDENTS ABOVE 50 MARKS</t>
  </si>
  <si>
    <t>AVARAGE SCORE FOR STUDENT ABOVE 60</t>
  </si>
  <si>
    <t>FATCH STUDENT NAME BASED ON ID</t>
  </si>
  <si>
    <t>STUDENT ID</t>
  </si>
  <si>
    <t>DISCOUNT ELIGIBLE OR NOT</t>
  </si>
  <si>
    <t>PRODUCT FOR DISCOUNT ELIGIBLE OR NOT</t>
  </si>
  <si>
    <t>TOTAL SALES FOR A SPECIFIC REGION AND PRODUCT</t>
  </si>
  <si>
    <t>REGION</t>
  </si>
  <si>
    <t>KEYBORD</t>
  </si>
  <si>
    <t>LAPTOP</t>
  </si>
  <si>
    <t>MONITOR</t>
  </si>
  <si>
    <t>MOUSE</t>
  </si>
  <si>
    <t>PRINTER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</si>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</sst>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2" fontId="0" fillId="0" borderId="10" xfId="0" applyNumberFormat="1" applyBorder="1" applyAlignment="1">
      <alignment horizontal="center" vertical="center" wrapText="1"/>
    </xf>
    <xf numFmtId="22" fontId="0" fillId="0" borderId="11" xfId="0" applyNumberFormat="1" applyBorder="1" applyAlignment="1">
      <alignment horizontal="center" vertical="center" wrapText="1"/>
    </xf>
    <xf numFmtId="22" fontId="0" fillId="0" borderId="12" xfId="0" applyNumberForma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1" fillId="2" borderId="1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indent="5"/>
    </xf>
    <xf numFmtId="0" fontId="0" fillId="0" borderId="2" xfId="0" applyBorder="1" applyAlignment="1">
      <alignment horizontal="left" vertical="center" indent="5"/>
    </xf>
    <xf numFmtId="0" fontId="0" fillId="0" borderId="5" xfId="0" applyBorder="1" applyAlignment="1">
      <alignment horizontal="left" vertical="center" indent="5"/>
    </xf>
    <xf numFmtId="0" fontId="0" fillId="0" borderId="3" xfId="0" applyBorder="1" applyAlignment="1">
      <alignment horizontal="left" vertical="center" indent="5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1" fillId="0" borderId="1" xfId="0" applyFont="1" applyBorder="1"/>
    <xf numFmtId="0" fontId="1" fillId="2" borderId="1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" xfId="0" applyFont="1" applyBorder="1"/>
    <xf numFmtId="14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1" fillId="0" borderId="0" xfId="0" applyFont="1" applyBorder="1"/>
    <xf numFmtId="0" fontId="2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8" fillId="0" borderId="1" xfId="0" applyFont="1" applyBorder="1"/>
    <xf numFmtId="0" fontId="1" fillId="0" borderId="16" xfId="0" applyFont="1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5194-4BEF-4722-ADCD-AB4329B1D7CB}">
  <dimension ref="A1:AJ33"/>
  <sheetViews>
    <sheetView topLeftCell="Q1" zoomScale="70" zoomScaleNormal="70" workbookViewId="0">
      <selection activeCell="AA9" sqref="AA9"/>
    </sheetView>
  </sheetViews>
  <sheetFormatPr defaultRowHeight="14.4" x14ac:dyDescent="0.3"/>
  <cols>
    <col min="6" max="6" width="14.6640625" bestFit="1" customWidth="1"/>
    <col min="8" max="8" width="12.44140625" customWidth="1"/>
    <col min="17" max="17" width="10.44140625" bestFit="1" customWidth="1"/>
    <col min="18" max="18" width="18.88671875" customWidth="1"/>
    <col min="19" max="19" width="12.6640625" customWidth="1"/>
    <col min="20" max="20" width="12.109375" customWidth="1"/>
    <col min="30" max="30" width="14.33203125" customWidth="1"/>
  </cols>
  <sheetData>
    <row r="1" spans="1:36" ht="64.8" customHeight="1" thickBo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10" t="s">
        <v>1</v>
      </c>
      <c r="H1" s="15" t="s">
        <v>28</v>
      </c>
      <c r="M1" s="26" t="s">
        <v>29</v>
      </c>
      <c r="N1" s="26"/>
      <c r="O1" s="26"/>
      <c r="P1" s="26"/>
      <c r="Q1" s="26"/>
      <c r="R1" s="26"/>
      <c r="S1" s="26"/>
      <c r="T1" s="26"/>
      <c r="U1" s="17">
        <f>COUNTIFS(H2:H21, "&gt;60")</f>
        <v>16</v>
      </c>
      <c r="AB1" s="26" t="s">
        <v>75</v>
      </c>
      <c r="AC1" s="26"/>
      <c r="AD1" s="26"/>
      <c r="AE1" s="26"/>
      <c r="AF1" s="26"/>
      <c r="AG1" s="26"/>
      <c r="AH1" s="26"/>
      <c r="AI1" s="26"/>
      <c r="AJ1" s="16">
        <f>COUNTIFS(C2:C21,"&gt;50")</f>
        <v>19</v>
      </c>
    </row>
    <row r="2" spans="1:36" ht="15" thickBot="1" x14ac:dyDescent="0.35">
      <c r="A2" s="3">
        <v>1001</v>
      </c>
      <c r="B2" s="4" t="s">
        <v>8</v>
      </c>
      <c r="C2" s="4">
        <v>61</v>
      </c>
      <c r="D2" s="4">
        <v>48</v>
      </c>
      <c r="E2" s="4">
        <v>76</v>
      </c>
      <c r="F2" s="6">
        <v>43101</v>
      </c>
      <c r="G2" s="11" t="str">
        <f>IF(AVERAGE(C2:E2)&gt;=80, "A", IF(AVERAGE(C2:E2)&gt;=60, "B", IF(AVERAGE(C2:E2)&gt;=45, "C", IF(AVERAGE(C2:E2)&gt;=33, "D", "F"))))</f>
        <v>B</v>
      </c>
      <c r="H2" s="8">
        <f>(SUM(C2:E2)/300)*100</f>
        <v>61.666666666666671</v>
      </c>
    </row>
    <row r="3" spans="1:36" ht="15" thickBot="1" x14ac:dyDescent="0.35">
      <c r="A3" s="3">
        <v>1002</v>
      </c>
      <c r="B3" s="4" t="s">
        <v>9</v>
      </c>
      <c r="C3" s="4">
        <v>78</v>
      </c>
      <c r="D3" s="4">
        <v>76</v>
      </c>
      <c r="E3" s="4">
        <v>70</v>
      </c>
      <c r="F3" s="6">
        <v>43281</v>
      </c>
      <c r="G3" s="11" t="str">
        <f t="shared" ref="G3:G21" si="0">IF(AVERAGE(C3:E3)&gt;=80, "A", IF(AVERAGE(C3:E3)&gt;=60, "B", IF(AVERAGE(C3:E3)&gt;=45, "C", IF(AVERAGE(C3:E3)&gt;=33, "D", "F"))))</f>
        <v>B</v>
      </c>
      <c r="H3" s="8">
        <f t="shared" ref="H3:H21" si="1">(SUM(C3:E3)/300)*100</f>
        <v>74.666666666666671</v>
      </c>
    </row>
    <row r="4" spans="1:36" ht="21.6" thickBot="1" x14ac:dyDescent="0.35">
      <c r="A4" s="3">
        <v>1003</v>
      </c>
      <c r="B4" s="4" t="s">
        <v>10</v>
      </c>
      <c r="C4" s="4">
        <v>97</v>
      </c>
      <c r="D4" s="4">
        <v>60</v>
      </c>
      <c r="E4" s="4">
        <v>51</v>
      </c>
      <c r="F4" s="6">
        <v>43282</v>
      </c>
      <c r="G4" s="11" t="str">
        <f t="shared" si="0"/>
        <v>B</v>
      </c>
      <c r="H4" s="8">
        <f t="shared" si="1"/>
        <v>69.333333333333343</v>
      </c>
      <c r="M4" s="27" t="s">
        <v>30</v>
      </c>
      <c r="N4" s="28"/>
      <c r="O4" s="28"/>
      <c r="P4" s="28"/>
      <c r="Q4" s="28"/>
      <c r="R4" s="28"/>
      <c r="S4" s="28"/>
      <c r="T4" s="28"/>
      <c r="U4" s="28"/>
      <c r="V4" s="29"/>
    </row>
    <row r="5" spans="1:36" ht="15" thickBot="1" x14ac:dyDescent="0.35">
      <c r="A5" s="3">
        <v>1004</v>
      </c>
      <c r="B5" s="4" t="s">
        <v>11</v>
      </c>
      <c r="C5" s="4">
        <v>74</v>
      </c>
      <c r="D5" s="4">
        <v>55</v>
      </c>
      <c r="E5" s="4">
        <v>46</v>
      </c>
      <c r="F5" s="6">
        <v>43283</v>
      </c>
      <c r="G5" s="12" t="str">
        <f t="shared" si="0"/>
        <v>C</v>
      </c>
      <c r="H5" s="8">
        <f t="shared" si="1"/>
        <v>58.333333333333336</v>
      </c>
      <c r="M5" s="30" t="s">
        <v>0</v>
      </c>
      <c r="N5" s="30" t="s">
        <v>31</v>
      </c>
      <c r="O5" s="30" t="s">
        <v>32</v>
      </c>
      <c r="P5" s="30" t="s">
        <v>33</v>
      </c>
      <c r="Q5" s="30" t="s">
        <v>34</v>
      </c>
      <c r="R5" s="30" t="s">
        <v>1</v>
      </c>
      <c r="S5" s="30" t="s">
        <v>28</v>
      </c>
    </row>
    <row r="6" spans="1:36" ht="18.600000000000001" thickBot="1" x14ac:dyDescent="0.4">
      <c r="A6" s="3">
        <v>1005</v>
      </c>
      <c r="B6" s="4" t="s">
        <v>12</v>
      </c>
      <c r="C6" s="4">
        <v>68</v>
      </c>
      <c r="D6" s="4">
        <v>74</v>
      </c>
      <c r="E6" s="4">
        <v>84</v>
      </c>
      <c r="F6" s="6">
        <v>43284</v>
      </c>
      <c r="G6" s="11" t="str">
        <f t="shared" si="0"/>
        <v>B</v>
      </c>
      <c r="H6" s="8">
        <f t="shared" si="1"/>
        <v>75.333333333333329</v>
      </c>
      <c r="M6" s="8" t="str" cm="1">
        <f t="array" ref="M6:S7">_xlfn._xlws.FILTER(B2:H21,H2:H21&gt;80)</f>
        <v>Student 12</v>
      </c>
      <c r="N6" s="8">
        <v>85</v>
      </c>
      <c r="O6" s="8">
        <v>89</v>
      </c>
      <c r="P6" s="8">
        <v>79</v>
      </c>
      <c r="Q6" s="18">
        <v>45081</v>
      </c>
      <c r="R6" s="8" t="str">
        <v>A</v>
      </c>
      <c r="S6" s="8">
        <v>84.333333333333343</v>
      </c>
      <c r="AB6" s="26" t="s">
        <v>76</v>
      </c>
      <c r="AC6" s="26"/>
      <c r="AD6" s="26"/>
      <c r="AE6" s="26"/>
      <c r="AF6" s="26"/>
      <c r="AG6" s="26"/>
      <c r="AH6" s="26"/>
      <c r="AI6" s="26"/>
      <c r="AJ6" s="31">
        <f>AVERAGEIF(H2:H21,"&gt;60")</f>
        <v>73.625000000000014</v>
      </c>
    </row>
    <row r="7" spans="1:36" ht="15" thickBot="1" x14ac:dyDescent="0.35">
      <c r="A7" s="3">
        <v>1006</v>
      </c>
      <c r="B7" s="4" t="s">
        <v>13</v>
      </c>
      <c r="C7" s="4">
        <v>80</v>
      </c>
      <c r="D7" s="4">
        <v>70</v>
      </c>
      <c r="E7" s="4">
        <v>65</v>
      </c>
      <c r="F7" s="6">
        <v>43285</v>
      </c>
      <c r="G7" s="11" t="str">
        <f t="shared" si="0"/>
        <v>B</v>
      </c>
      <c r="H7" s="8">
        <f t="shared" si="1"/>
        <v>71.666666666666671</v>
      </c>
      <c r="M7" s="8" t="str">
        <v>Student 13</v>
      </c>
      <c r="N7" s="8">
        <v>98</v>
      </c>
      <c r="O7" s="8">
        <v>90</v>
      </c>
      <c r="P7" s="8">
        <v>97</v>
      </c>
      <c r="Q7" s="18">
        <v>45261</v>
      </c>
      <c r="R7" s="8" t="str">
        <v>A</v>
      </c>
      <c r="S7" s="8">
        <v>95</v>
      </c>
    </row>
    <row r="8" spans="1:36" ht="15" thickBot="1" x14ac:dyDescent="0.35">
      <c r="A8" s="3">
        <v>1007</v>
      </c>
      <c r="B8" s="4" t="s">
        <v>14</v>
      </c>
      <c r="C8" s="4">
        <v>75</v>
      </c>
      <c r="D8" s="4">
        <v>47</v>
      </c>
      <c r="E8" s="4">
        <v>78</v>
      </c>
      <c r="F8" s="6">
        <v>43286</v>
      </c>
      <c r="G8" s="11" t="str">
        <f t="shared" si="0"/>
        <v>B</v>
      </c>
      <c r="H8" s="8">
        <f t="shared" si="1"/>
        <v>66.666666666666657</v>
      </c>
    </row>
    <row r="9" spans="1:36" ht="15" thickBot="1" x14ac:dyDescent="0.35">
      <c r="A9" s="3">
        <v>1008</v>
      </c>
      <c r="B9" s="4" t="s">
        <v>15</v>
      </c>
      <c r="C9" s="4">
        <v>94</v>
      </c>
      <c r="D9" s="4">
        <v>67</v>
      </c>
      <c r="E9" s="4">
        <v>64</v>
      </c>
      <c r="F9" s="6">
        <v>43287</v>
      </c>
      <c r="G9" s="11" t="str">
        <f t="shared" si="0"/>
        <v>B</v>
      </c>
      <c r="H9" s="8">
        <f t="shared" si="1"/>
        <v>75</v>
      </c>
    </row>
    <row r="10" spans="1:36" ht="18" thickBot="1" x14ac:dyDescent="0.35">
      <c r="A10" s="3">
        <v>1009</v>
      </c>
      <c r="B10" s="4" t="s">
        <v>16</v>
      </c>
      <c r="C10" s="4">
        <v>41</v>
      </c>
      <c r="D10" s="4">
        <v>75</v>
      </c>
      <c r="E10" s="4">
        <v>56</v>
      </c>
      <c r="F10" s="6">
        <v>43288</v>
      </c>
      <c r="G10" s="11" t="str">
        <f t="shared" si="0"/>
        <v>C</v>
      </c>
      <c r="H10" s="8">
        <f t="shared" si="1"/>
        <v>57.333333333333336</v>
      </c>
      <c r="AB10" s="26" t="s">
        <v>77</v>
      </c>
      <c r="AC10" s="26"/>
      <c r="AD10" s="26"/>
      <c r="AE10" s="26"/>
      <c r="AF10" s="26"/>
      <c r="AG10" s="26"/>
      <c r="AH10" s="26"/>
      <c r="AI10" s="26"/>
    </row>
    <row r="11" spans="1:36" ht="29.4" thickBot="1" x14ac:dyDescent="0.35">
      <c r="A11" s="3">
        <v>1010</v>
      </c>
      <c r="B11" s="4" t="s">
        <v>17</v>
      </c>
      <c r="C11" s="4">
        <v>98</v>
      </c>
      <c r="D11" s="4">
        <v>54</v>
      </c>
      <c r="E11" s="4">
        <v>58</v>
      </c>
      <c r="F11" s="6">
        <v>44721</v>
      </c>
      <c r="G11" s="11" t="str">
        <f t="shared" si="0"/>
        <v>B</v>
      </c>
      <c r="H11" s="8">
        <f t="shared" si="1"/>
        <v>70</v>
      </c>
      <c r="M11" s="27" t="s">
        <v>73</v>
      </c>
      <c r="N11" s="28"/>
      <c r="O11" s="28"/>
      <c r="P11" s="28"/>
      <c r="Q11" s="28"/>
      <c r="R11" s="28"/>
      <c r="S11" s="28"/>
      <c r="T11" s="28"/>
      <c r="U11" s="28"/>
      <c r="V11" s="29"/>
    </row>
    <row r="12" spans="1:36" ht="29.4" thickBot="1" x14ac:dyDescent="0.35">
      <c r="A12" s="3">
        <v>1011</v>
      </c>
      <c r="B12" s="4" t="s">
        <v>18</v>
      </c>
      <c r="C12" s="4">
        <v>73</v>
      </c>
      <c r="D12" s="4">
        <v>79</v>
      </c>
      <c r="E12" s="4">
        <v>53</v>
      </c>
      <c r="F12" s="6">
        <v>44901</v>
      </c>
      <c r="G12" s="12" t="str">
        <f t="shared" si="0"/>
        <v>B</v>
      </c>
      <c r="H12" s="8">
        <f t="shared" si="1"/>
        <v>68.333333333333329</v>
      </c>
      <c r="AD12" s="22" t="s">
        <v>78</v>
      </c>
      <c r="AE12" s="22" t="s">
        <v>0</v>
      </c>
    </row>
    <row r="13" spans="1:36" ht="29.4" thickBot="1" x14ac:dyDescent="0.35">
      <c r="A13" s="3">
        <v>1012</v>
      </c>
      <c r="B13" s="4" t="s">
        <v>19</v>
      </c>
      <c r="C13" s="4">
        <v>85</v>
      </c>
      <c r="D13" s="4">
        <v>89</v>
      </c>
      <c r="E13" s="4">
        <v>79</v>
      </c>
      <c r="F13" s="7">
        <v>45081</v>
      </c>
      <c r="G13" s="11" t="str">
        <f t="shared" si="0"/>
        <v>A</v>
      </c>
      <c r="H13" s="8">
        <f t="shared" si="1"/>
        <v>84.333333333333343</v>
      </c>
      <c r="M13" s="1" t="s">
        <v>2</v>
      </c>
      <c r="N13" s="2" t="s">
        <v>3</v>
      </c>
      <c r="O13" s="2" t="s">
        <v>4</v>
      </c>
      <c r="P13" s="2" t="s">
        <v>5</v>
      </c>
      <c r="Q13" s="20" t="s">
        <v>6</v>
      </c>
      <c r="R13" s="15" t="s">
        <v>74</v>
      </c>
      <c r="AD13" s="8">
        <v>1003</v>
      </c>
      <c r="AE13" s="8" t="str">
        <f>VLOOKUP(AD13,$A$2:$B$21,2,FALSE)</f>
        <v>Student 3</v>
      </c>
    </row>
    <row r="14" spans="1:36" ht="29.4" thickBot="1" x14ac:dyDescent="0.35">
      <c r="A14" s="3">
        <v>1013</v>
      </c>
      <c r="B14" s="4" t="s">
        <v>20</v>
      </c>
      <c r="C14" s="4">
        <v>98</v>
      </c>
      <c r="D14" s="4">
        <v>90</v>
      </c>
      <c r="E14" s="4">
        <v>97</v>
      </c>
      <c r="F14" s="7">
        <v>45261</v>
      </c>
      <c r="G14" s="13" t="str">
        <f t="shared" si="0"/>
        <v>A</v>
      </c>
      <c r="H14" s="8">
        <f t="shared" si="1"/>
        <v>95</v>
      </c>
      <c r="M14" s="3">
        <v>1001</v>
      </c>
      <c r="N14" s="4" t="s">
        <v>8</v>
      </c>
      <c r="O14" s="4">
        <v>61</v>
      </c>
      <c r="P14" s="4">
        <v>48</v>
      </c>
      <c r="Q14" s="21">
        <v>76</v>
      </c>
      <c r="R14" s="8" t="str">
        <f>IF(AND(C2&gt;80,D2&gt;80),"ABOVE 80 MARKS","NO ABOVE 80 MARKS")</f>
        <v>NO ABOVE 80 MARKS</v>
      </c>
    </row>
    <row r="15" spans="1:36" ht="29.4" thickBot="1" x14ac:dyDescent="0.35">
      <c r="A15" s="3">
        <v>1014</v>
      </c>
      <c r="B15" s="4" t="s">
        <v>21</v>
      </c>
      <c r="C15" s="4">
        <v>93</v>
      </c>
      <c r="D15" s="4">
        <v>40</v>
      </c>
      <c r="E15" s="4">
        <v>44</v>
      </c>
      <c r="F15" s="7">
        <v>45441</v>
      </c>
      <c r="G15" s="11" t="str">
        <f t="shared" si="0"/>
        <v>C</v>
      </c>
      <c r="H15" s="8">
        <f t="shared" si="1"/>
        <v>59</v>
      </c>
      <c r="M15" s="3">
        <v>1002</v>
      </c>
      <c r="N15" s="4" t="s">
        <v>9</v>
      </c>
      <c r="O15" s="4">
        <v>78</v>
      </c>
      <c r="P15" s="4">
        <v>76</v>
      </c>
      <c r="Q15" s="21">
        <v>70</v>
      </c>
      <c r="R15" s="8" t="str">
        <f t="shared" ref="R15:R33" si="2">IF(AND(C3&gt;80,D3&gt;80),"ABOVE 80 MARKS","NO ABOVE 80 MARKS")</f>
        <v>NO ABOVE 80 MARKS</v>
      </c>
    </row>
    <row r="16" spans="1:36" ht="29.4" thickBot="1" x14ac:dyDescent="0.35">
      <c r="A16" s="3">
        <v>1015</v>
      </c>
      <c r="B16" s="4" t="s">
        <v>22</v>
      </c>
      <c r="C16" s="4">
        <v>70</v>
      </c>
      <c r="D16" s="4">
        <v>51</v>
      </c>
      <c r="E16" s="4">
        <v>75</v>
      </c>
      <c r="F16" s="7">
        <v>45442</v>
      </c>
      <c r="G16" s="11" t="str">
        <f t="shared" si="0"/>
        <v>B</v>
      </c>
      <c r="H16" s="8">
        <f t="shared" si="1"/>
        <v>65.333333333333329</v>
      </c>
      <c r="M16" s="3">
        <v>1003</v>
      </c>
      <c r="N16" s="4" t="s">
        <v>10</v>
      </c>
      <c r="O16" s="4">
        <v>97</v>
      </c>
      <c r="P16" s="4">
        <v>60</v>
      </c>
      <c r="Q16" s="21">
        <v>51</v>
      </c>
      <c r="R16" s="8" t="str">
        <f t="shared" si="2"/>
        <v>NO ABOVE 80 MARKS</v>
      </c>
    </row>
    <row r="17" spans="1:18" ht="29.4" thickBot="1" x14ac:dyDescent="0.35">
      <c r="A17" s="3">
        <v>1016</v>
      </c>
      <c r="B17" s="4" t="s">
        <v>23</v>
      </c>
      <c r="C17" s="4">
        <v>98</v>
      </c>
      <c r="D17" s="4">
        <v>77</v>
      </c>
      <c r="E17" s="4">
        <v>60</v>
      </c>
      <c r="F17" s="7">
        <v>45443</v>
      </c>
      <c r="G17" s="11" t="str">
        <f t="shared" si="0"/>
        <v>B</v>
      </c>
      <c r="H17" s="8">
        <f t="shared" si="1"/>
        <v>78.333333333333329</v>
      </c>
      <c r="M17" s="3">
        <v>1004</v>
      </c>
      <c r="N17" s="4" t="s">
        <v>11</v>
      </c>
      <c r="O17" s="4">
        <v>74</v>
      </c>
      <c r="P17" s="4">
        <v>55</v>
      </c>
      <c r="Q17" s="21">
        <v>46</v>
      </c>
      <c r="R17" s="8" t="str">
        <f t="shared" si="2"/>
        <v>NO ABOVE 80 MARKS</v>
      </c>
    </row>
    <row r="18" spans="1:18" ht="29.4" thickBot="1" x14ac:dyDescent="0.35">
      <c r="A18" s="3">
        <v>1017</v>
      </c>
      <c r="B18" s="4" t="s">
        <v>24</v>
      </c>
      <c r="C18" s="4">
        <v>66</v>
      </c>
      <c r="D18" s="4">
        <v>59</v>
      </c>
      <c r="E18" s="4">
        <v>40</v>
      </c>
      <c r="F18" s="7">
        <v>45444</v>
      </c>
      <c r="G18" s="11" t="str">
        <f t="shared" si="0"/>
        <v>C</v>
      </c>
      <c r="H18" s="8">
        <f t="shared" si="1"/>
        <v>55.000000000000007</v>
      </c>
      <c r="M18" s="3">
        <v>1005</v>
      </c>
      <c r="N18" s="4" t="s">
        <v>12</v>
      </c>
      <c r="O18" s="4">
        <v>68</v>
      </c>
      <c r="P18" s="4">
        <v>74</v>
      </c>
      <c r="Q18" s="21">
        <v>84</v>
      </c>
      <c r="R18" s="8" t="str">
        <f t="shared" si="2"/>
        <v>NO ABOVE 80 MARKS</v>
      </c>
    </row>
    <row r="19" spans="1:18" ht="29.4" thickBot="1" x14ac:dyDescent="0.35">
      <c r="A19" s="3">
        <v>1018</v>
      </c>
      <c r="B19" s="4" t="s">
        <v>25</v>
      </c>
      <c r="C19" s="4">
        <v>82</v>
      </c>
      <c r="D19" s="4">
        <v>48</v>
      </c>
      <c r="E19" s="4">
        <v>79</v>
      </c>
      <c r="F19" s="7">
        <v>45445</v>
      </c>
      <c r="G19" s="11" t="str">
        <f t="shared" si="0"/>
        <v>B</v>
      </c>
      <c r="H19" s="8">
        <f t="shared" si="1"/>
        <v>69.666666666666671</v>
      </c>
      <c r="M19" s="3">
        <v>1006</v>
      </c>
      <c r="N19" s="4" t="s">
        <v>13</v>
      </c>
      <c r="O19" s="4">
        <v>80</v>
      </c>
      <c r="P19" s="4">
        <v>70</v>
      </c>
      <c r="Q19" s="21">
        <v>65</v>
      </c>
      <c r="R19" s="8" t="str">
        <f t="shared" si="2"/>
        <v>NO ABOVE 80 MARKS</v>
      </c>
    </row>
    <row r="20" spans="1:18" ht="29.4" thickBot="1" x14ac:dyDescent="0.35">
      <c r="A20" s="3">
        <v>1019</v>
      </c>
      <c r="B20" s="4" t="s">
        <v>26</v>
      </c>
      <c r="C20" s="4">
        <v>90</v>
      </c>
      <c r="D20" s="4">
        <v>78</v>
      </c>
      <c r="E20" s="4">
        <v>60</v>
      </c>
      <c r="F20" s="7">
        <v>45446</v>
      </c>
      <c r="G20" s="11" t="str">
        <f t="shared" si="0"/>
        <v>B</v>
      </c>
      <c r="H20" s="8">
        <f t="shared" si="1"/>
        <v>76</v>
      </c>
      <c r="M20" s="3">
        <v>1007</v>
      </c>
      <c r="N20" s="4" t="s">
        <v>14</v>
      </c>
      <c r="O20" s="4">
        <v>75</v>
      </c>
      <c r="P20" s="4">
        <v>47</v>
      </c>
      <c r="Q20" s="21">
        <v>78</v>
      </c>
      <c r="R20" s="8" t="str">
        <f t="shared" si="2"/>
        <v>NO ABOVE 80 MARKS</v>
      </c>
    </row>
    <row r="21" spans="1:18" ht="29.4" thickBot="1" x14ac:dyDescent="0.4">
      <c r="A21" s="3">
        <v>1020</v>
      </c>
      <c r="B21" s="4" t="s">
        <v>27</v>
      </c>
      <c r="C21" s="4">
        <v>83</v>
      </c>
      <c r="D21" s="4">
        <v>92</v>
      </c>
      <c r="E21" s="4">
        <v>55</v>
      </c>
      <c r="F21" s="7">
        <v>45447</v>
      </c>
      <c r="G21" s="14" t="str">
        <f t="shared" si="0"/>
        <v>B</v>
      </c>
      <c r="H21" s="8">
        <f t="shared" si="1"/>
        <v>76.666666666666671</v>
      </c>
      <c r="J21" s="9"/>
      <c r="M21" s="3">
        <v>1008</v>
      </c>
      <c r="N21" s="4" t="s">
        <v>15</v>
      </c>
      <c r="O21" s="4">
        <v>94</v>
      </c>
      <c r="P21" s="4">
        <v>67</v>
      </c>
      <c r="Q21" s="21">
        <v>64</v>
      </c>
      <c r="R21" s="8" t="str">
        <f t="shared" si="2"/>
        <v>NO ABOVE 80 MARKS</v>
      </c>
    </row>
    <row r="22" spans="1:18" ht="15" thickBot="1" x14ac:dyDescent="0.35">
      <c r="M22" s="3">
        <v>1009</v>
      </c>
      <c r="N22" s="4" t="s">
        <v>16</v>
      </c>
      <c r="O22" s="4">
        <v>41</v>
      </c>
      <c r="P22" s="4">
        <v>75</v>
      </c>
      <c r="Q22" s="21">
        <v>56</v>
      </c>
      <c r="R22" s="8" t="str">
        <f t="shared" si="2"/>
        <v>NO ABOVE 80 MARKS</v>
      </c>
    </row>
    <row r="23" spans="1:18" ht="29.4" thickBot="1" x14ac:dyDescent="0.35">
      <c r="M23" s="3">
        <v>1010</v>
      </c>
      <c r="N23" s="4" t="s">
        <v>17</v>
      </c>
      <c r="O23" s="4">
        <v>98</v>
      </c>
      <c r="P23" s="4">
        <v>54</v>
      </c>
      <c r="Q23" s="21">
        <v>58</v>
      </c>
      <c r="R23" s="8" t="str">
        <f t="shared" si="2"/>
        <v>NO ABOVE 80 MARKS</v>
      </c>
    </row>
    <row r="24" spans="1:18" ht="29.4" thickBot="1" x14ac:dyDescent="0.35">
      <c r="M24" s="3">
        <v>1011</v>
      </c>
      <c r="N24" s="4" t="s">
        <v>18</v>
      </c>
      <c r="O24" s="4">
        <v>73</v>
      </c>
      <c r="P24" s="4">
        <v>79</v>
      </c>
      <c r="Q24" s="21">
        <v>53</v>
      </c>
      <c r="R24" s="8" t="str">
        <f t="shared" si="2"/>
        <v>NO ABOVE 80 MARKS</v>
      </c>
    </row>
    <row r="25" spans="1:18" ht="29.4" thickBot="1" x14ac:dyDescent="0.35">
      <c r="M25" s="3">
        <v>1012</v>
      </c>
      <c r="N25" s="4" t="s">
        <v>19</v>
      </c>
      <c r="O25" s="4">
        <v>85</v>
      </c>
      <c r="P25" s="4">
        <v>89</v>
      </c>
      <c r="Q25" s="21">
        <v>79</v>
      </c>
      <c r="R25" s="8" t="str">
        <f t="shared" si="2"/>
        <v>ABOVE 80 MARKS</v>
      </c>
    </row>
    <row r="26" spans="1:18" ht="29.4" thickBot="1" x14ac:dyDescent="0.35">
      <c r="M26" s="3">
        <v>1013</v>
      </c>
      <c r="N26" s="4" t="s">
        <v>20</v>
      </c>
      <c r="O26" s="4">
        <v>98</v>
      </c>
      <c r="P26" s="4">
        <v>90</v>
      </c>
      <c r="Q26" s="21">
        <v>97</v>
      </c>
      <c r="R26" s="8" t="str">
        <f t="shared" si="2"/>
        <v>ABOVE 80 MARKS</v>
      </c>
    </row>
    <row r="27" spans="1:18" ht="29.4" thickBot="1" x14ac:dyDescent="0.35">
      <c r="M27" s="3">
        <v>1014</v>
      </c>
      <c r="N27" s="4" t="s">
        <v>21</v>
      </c>
      <c r="O27" s="4">
        <v>93</v>
      </c>
      <c r="P27" s="4">
        <v>40</v>
      </c>
      <c r="Q27" s="21">
        <v>44</v>
      </c>
      <c r="R27" s="8" t="str">
        <f t="shared" si="2"/>
        <v>NO ABOVE 80 MARKS</v>
      </c>
    </row>
    <row r="28" spans="1:18" ht="29.4" thickBot="1" x14ac:dyDescent="0.35">
      <c r="M28" s="3">
        <v>1015</v>
      </c>
      <c r="N28" s="4" t="s">
        <v>22</v>
      </c>
      <c r="O28" s="4">
        <v>70</v>
      </c>
      <c r="P28" s="4">
        <v>51</v>
      </c>
      <c r="Q28" s="21">
        <v>75</v>
      </c>
      <c r="R28" s="8" t="str">
        <f t="shared" si="2"/>
        <v>NO ABOVE 80 MARKS</v>
      </c>
    </row>
    <row r="29" spans="1:18" ht="29.4" thickBot="1" x14ac:dyDescent="0.35">
      <c r="M29" s="3">
        <v>1016</v>
      </c>
      <c r="N29" s="4" t="s">
        <v>23</v>
      </c>
      <c r="O29" s="4">
        <v>98</v>
      </c>
      <c r="P29" s="4">
        <v>77</v>
      </c>
      <c r="Q29" s="21">
        <v>60</v>
      </c>
      <c r="R29" s="8" t="str">
        <f t="shared" si="2"/>
        <v>NO ABOVE 80 MARKS</v>
      </c>
    </row>
    <row r="30" spans="1:18" ht="29.4" thickBot="1" x14ac:dyDescent="0.35">
      <c r="M30" s="3">
        <v>1017</v>
      </c>
      <c r="N30" s="4" t="s">
        <v>24</v>
      </c>
      <c r="O30" s="4">
        <v>66</v>
      </c>
      <c r="P30" s="4">
        <v>59</v>
      </c>
      <c r="Q30" s="21">
        <v>40</v>
      </c>
      <c r="R30" s="8" t="str">
        <f t="shared" si="2"/>
        <v>NO ABOVE 80 MARKS</v>
      </c>
    </row>
    <row r="31" spans="1:18" ht="29.4" thickBot="1" x14ac:dyDescent="0.35">
      <c r="M31" s="3">
        <v>1018</v>
      </c>
      <c r="N31" s="4" t="s">
        <v>25</v>
      </c>
      <c r="O31" s="4">
        <v>82</v>
      </c>
      <c r="P31" s="4">
        <v>48</v>
      </c>
      <c r="Q31" s="21">
        <v>79</v>
      </c>
      <c r="R31" s="8" t="str">
        <f t="shared" si="2"/>
        <v>NO ABOVE 80 MARKS</v>
      </c>
    </row>
    <row r="32" spans="1:18" ht="29.4" thickBot="1" x14ac:dyDescent="0.35">
      <c r="M32" s="3">
        <v>1019</v>
      </c>
      <c r="N32" s="4" t="s">
        <v>26</v>
      </c>
      <c r="O32" s="4">
        <v>90</v>
      </c>
      <c r="P32" s="4">
        <v>78</v>
      </c>
      <c r="Q32" s="21">
        <v>60</v>
      </c>
      <c r="R32" s="8" t="str">
        <f t="shared" si="2"/>
        <v>NO ABOVE 80 MARKS</v>
      </c>
    </row>
    <row r="33" spans="13:18" ht="29.4" thickBot="1" x14ac:dyDescent="0.35">
      <c r="M33" s="3">
        <v>1020</v>
      </c>
      <c r="N33" s="4" t="s">
        <v>27</v>
      </c>
      <c r="O33" s="4">
        <v>83</v>
      </c>
      <c r="P33" s="4">
        <v>92</v>
      </c>
      <c r="Q33" s="21">
        <v>55</v>
      </c>
      <c r="R33" s="8" t="str">
        <f t="shared" si="2"/>
        <v>ABOVE 80 MARKS</v>
      </c>
    </row>
  </sheetData>
  <mergeCells count="6">
    <mergeCell ref="M1:T1"/>
    <mergeCell ref="M4:V4"/>
    <mergeCell ref="M11:V11"/>
    <mergeCell ref="AB1:AI1"/>
    <mergeCell ref="AB6:AI6"/>
    <mergeCell ref="AB10:AI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7B1C-1639-450F-8889-99BA1F28FE6C}">
  <dimension ref="A1:Z30"/>
  <sheetViews>
    <sheetView tabSelected="1" topLeftCell="M15" workbookViewId="0">
      <selection activeCell="S18" sqref="S18"/>
    </sheetView>
  </sheetViews>
  <sheetFormatPr defaultRowHeight="14.4" x14ac:dyDescent="0.3"/>
  <cols>
    <col min="6" max="6" width="14.6640625" bestFit="1" customWidth="1"/>
    <col min="14" max="14" width="12.5546875" bestFit="1" customWidth="1"/>
    <col min="15" max="15" width="18.33203125" customWidth="1"/>
    <col min="22" max="22" width="9.77734375" customWidth="1"/>
  </cols>
  <sheetData>
    <row r="1" spans="1:26" ht="29.4" thickBot="1" x14ac:dyDescent="0.35">
      <c r="A1" s="1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I1" s="26" t="s">
        <v>70</v>
      </c>
      <c r="J1" s="26"/>
      <c r="K1" s="26"/>
      <c r="L1" s="26"/>
      <c r="M1" s="26"/>
      <c r="N1" s="26"/>
      <c r="O1" s="26"/>
      <c r="P1" s="26"/>
    </row>
    <row r="2" spans="1:26" ht="15" thickBot="1" x14ac:dyDescent="0.35">
      <c r="A2" s="3">
        <v>2001</v>
      </c>
      <c r="B2" s="4" t="s">
        <v>41</v>
      </c>
      <c r="C2" s="4" t="s">
        <v>42</v>
      </c>
      <c r="D2" s="4" t="s">
        <v>43</v>
      </c>
      <c r="E2" s="4">
        <v>7048</v>
      </c>
      <c r="F2" s="5">
        <v>44927</v>
      </c>
    </row>
    <row r="3" spans="1:26" ht="15" thickBot="1" x14ac:dyDescent="0.35">
      <c r="A3" s="3">
        <v>2002</v>
      </c>
      <c r="B3" s="4" t="s">
        <v>44</v>
      </c>
      <c r="C3" s="4" t="s">
        <v>45</v>
      </c>
      <c r="D3" s="4" t="s">
        <v>46</v>
      </c>
      <c r="E3" s="4">
        <v>17428</v>
      </c>
      <c r="F3" s="5">
        <v>44942</v>
      </c>
      <c r="K3" s="19" t="s">
        <v>71</v>
      </c>
      <c r="L3" s="19" t="s">
        <v>72</v>
      </c>
    </row>
    <row r="4" spans="1:26" ht="15" thickBot="1" x14ac:dyDescent="0.35">
      <c r="A4" s="3">
        <v>2003</v>
      </c>
      <c r="B4" s="4" t="s">
        <v>47</v>
      </c>
      <c r="C4" s="4" t="s">
        <v>42</v>
      </c>
      <c r="D4" s="4" t="s">
        <v>48</v>
      </c>
      <c r="E4" s="4">
        <v>23672</v>
      </c>
      <c r="F4" s="5">
        <v>44957</v>
      </c>
      <c r="K4" s="8">
        <v>2006</v>
      </c>
      <c r="L4" s="8">
        <f>VLOOKUP(K4,A2:F21,5,FALSE)</f>
        <v>19757</v>
      </c>
    </row>
    <row r="5" spans="1:26" ht="15" thickBot="1" x14ac:dyDescent="0.35">
      <c r="A5" s="3">
        <v>2004</v>
      </c>
      <c r="B5" s="4" t="s">
        <v>44</v>
      </c>
      <c r="C5" s="4" t="s">
        <v>49</v>
      </c>
      <c r="D5" s="4" t="s">
        <v>50</v>
      </c>
      <c r="E5" s="4">
        <v>5264</v>
      </c>
      <c r="F5" s="5">
        <v>44972</v>
      </c>
    </row>
    <row r="6" spans="1:26" ht="15" thickBot="1" x14ac:dyDescent="0.35">
      <c r="A6" s="3">
        <v>2005</v>
      </c>
      <c r="B6" s="4" t="s">
        <v>41</v>
      </c>
      <c r="C6" s="4" t="s">
        <v>51</v>
      </c>
      <c r="D6" s="4" t="s">
        <v>52</v>
      </c>
      <c r="E6" s="4">
        <v>43388</v>
      </c>
      <c r="F6" s="5">
        <v>44987</v>
      </c>
    </row>
    <row r="7" spans="1:26" ht="15" thickBot="1" x14ac:dyDescent="0.35">
      <c r="A7" s="3">
        <v>2006</v>
      </c>
      <c r="B7" s="4" t="s">
        <v>47</v>
      </c>
      <c r="C7" s="4" t="s">
        <v>51</v>
      </c>
      <c r="D7" s="4" t="s">
        <v>53</v>
      </c>
      <c r="E7" s="4">
        <v>19757</v>
      </c>
      <c r="F7" s="5">
        <v>45002</v>
      </c>
    </row>
    <row r="8" spans="1:26" ht="18" thickBot="1" x14ac:dyDescent="0.35">
      <c r="A8" s="3">
        <v>2007</v>
      </c>
      <c r="B8" s="4" t="s">
        <v>47</v>
      </c>
      <c r="C8" s="4" t="s">
        <v>49</v>
      </c>
      <c r="D8" s="4" t="s">
        <v>54</v>
      </c>
      <c r="E8" s="4">
        <v>32058</v>
      </c>
      <c r="F8" s="5">
        <v>45017</v>
      </c>
      <c r="I8" s="26" t="s">
        <v>80</v>
      </c>
      <c r="J8" s="26"/>
      <c r="K8" s="26"/>
      <c r="L8" s="26"/>
      <c r="M8" s="26"/>
      <c r="N8" s="26"/>
      <c r="O8" s="26"/>
      <c r="P8" s="26"/>
    </row>
    <row r="9" spans="1:26" ht="15" thickBot="1" x14ac:dyDescent="0.35">
      <c r="A9" s="3">
        <v>2008</v>
      </c>
      <c r="B9" s="4" t="s">
        <v>41</v>
      </c>
      <c r="C9" s="4" t="s">
        <v>49</v>
      </c>
      <c r="D9" s="4" t="s">
        <v>55</v>
      </c>
      <c r="E9" s="4">
        <v>46429</v>
      </c>
      <c r="F9" s="5">
        <v>45032</v>
      </c>
    </row>
    <row r="10" spans="1:26" ht="29.4" thickBot="1" x14ac:dyDescent="0.35">
      <c r="A10" s="3">
        <v>2009</v>
      </c>
      <c r="B10" s="4" t="s">
        <v>44</v>
      </c>
      <c r="C10" s="4" t="s">
        <v>49</v>
      </c>
      <c r="D10" s="4" t="s">
        <v>56</v>
      </c>
      <c r="E10" s="4">
        <v>19746</v>
      </c>
      <c r="F10" s="5">
        <v>45047</v>
      </c>
      <c r="I10" s="1" t="s">
        <v>35</v>
      </c>
      <c r="J10" s="2" t="s">
        <v>36</v>
      </c>
      <c r="K10" s="2" t="s">
        <v>37</v>
      </c>
      <c r="L10" s="2" t="s">
        <v>38</v>
      </c>
      <c r="M10" s="2" t="s">
        <v>39</v>
      </c>
      <c r="N10" s="20" t="s">
        <v>40</v>
      </c>
      <c r="O10" s="15" t="s">
        <v>79</v>
      </c>
      <c r="S10" s="26" t="s">
        <v>81</v>
      </c>
      <c r="T10" s="26"/>
      <c r="U10" s="26"/>
      <c r="V10" s="26"/>
      <c r="W10" s="26"/>
      <c r="X10" s="26"/>
      <c r="Y10" s="26"/>
      <c r="Z10" s="26"/>
    </row>
    <row r="11" spans="1:26" ht="29.4" thickBot="1" x14ac:dyDescent="0.35">
      <c r="A11" s="3">
        <v>2010</v>
      </c>
      <c r="B11" s="4" t="s">
        <v>41</v>
      </c>
      <c r="C11" s="4" t="s">
        <v>42</v>
      </c>
      <c r="D11" s="4" t="s">
        <v>57</v>
      </c>
      <c r="E11" s="4">
        <v>35185</v>
      </c>
      <c r="F11" s="5">
        <v>45062</v>
      </c>
      <c r="I11" s="3">
        <v>2001</v>
      </c>
      <c r="J11" s="4" t="s">
        <v>41</v>
      </c>
      <c r="K11" s="4" t="s">
        <v>42</v>
      </c>
      <c r="L11" s="4" t="s">
        <v>43</v>
      </c>
      <c r="M11" s="4">
        <v>7048</v>
      </c>
      <c r="N11" s="23">
        <v>44927</v>
      </c>
      <c r="O11" s="24" t="str">
        <f>IF(AND(OR(J11="Keyboard", J11="Mouse", J11="Laptop"), M11&gt;10000),"Discount Eligible","No Discount")</f>
        <v>No Discount</v>
      </c>
      <c r="S11" s="25"/>
      <c r="T11" s="25"/>
      <c r="U11" s="25"/>
      <c r="V11" s="25"/>
      <c r="W11" s="25"/>
      <c r="X11" s="25"/>
    </row>
    <row r="12" spans="1:26" ht="29.4" thickBot="1" x14ac:dyDescent="0.35">
      <c r="A12" s="3">
        <v>2011</v>
      </c>
      <c r="B12" s="4" t="s">
        <v>41</v>
      </c>
      <c r="C12" s="4" t="s">
        <v>49</v>
      </c>
      <c r="D12" s="4" t="s">
        <v>58</v>
      </c>
      <c r="E12" s="4">
        <v>33920</v>
      </c>
      <c r="F12" s="5">
        <v>45077</v>
      </c>
      <c r="I12" s="3">
        <v>2002</v>
      </c>
      <c r="J12" s="4" t="s">
        <v>44</v>
      </c>
      <c r="K12" s="4" t="s">
        <v>45</v>
      </c>
      <c r="L12" s="4" t="s">
        <v>46</v>
      </c>
      <c r="M12" s="4">
        <v>17428</v>
      </c>
      <c r="N12" s="23">
        <v>44928</v>
      </c>
      <c r="O12" s="24" t="str">
        <f t="shared" ref="O12:O30" si="0">IF(AND(OR(J12="Keyboard", J12="Mouse", J12="Laptop"), M12&gt;10000),"Discount Eligible","No Discount")</f>
        <v>No Discount</v>
      </c>
      <c r="S12" s="32" t="s">
        <v>82</v>
      </c>
      <c r="T12" s="32" t="s">
        <v>83</v>
      </c>
      <c r="U12" s="32" t="s">
        <v>84</v>
      </c>
      <c r="V12" s="32" t="s">
        <v>85</v>
      </c>
      <c r="W12" s="32" t="s">
        <v>86</v>
      </c>
      <c r="X12" s="32" t="s">
        <v>87</v>
      </c>
    </row>
    <row r="13" spans="1:26" ht="29.4" thickBot="1" x14ac:dyDescent="0.35">
      <c r="A13" s="3">
        <v>2012</v>
      </c>
      <c r="B13" s="4" t="s">
        <v>59</v>
      </c>
      <c r="C13" s="4" t="s">
        <v>51</v>
      </c>
      <c r="D13" s="4" t="s">
        <v>60</v>
      </c>
      <c r="E13" s="4">
        <v>35611</v>
      </c>
      <c r="F13" s="5">
        <v>45092</v>
      </c>
      <c r="I13" s="3">
        <v>2003</v>
      </c>
      <c r="J13" s="4" t="s">
        <v>47</v>
      </c>
      <c r="K13" s="4" t="s">
        <v>42</v>
      </c>
      <c r="L13" s="4" t="s">
        <v>48</v>
      </c>
      <c r="M13" s="4">
        <v>23672</v>
      </c>
      <c r="N13" s="23">
        <v>44929</v>
      </c>
      <c r="O13" s="24" t="str">
        <f t="shared" si="0"/>
        <v>Discount Eligible</v>
      </c>
      <c r="S13" s="33" t="s">
        <v>88</v>
      </c>
      <c r="T13" s="33">
        <f>SUMIFS(E2:E21, C2:C21, "North", B2:B21, "Keyboard")</f>
        <v>43388</v>
      </c>
      <c r="U13" s="33">
        <f>SUMIFS(E2:E21, C2:C21, "North", B2:B21, "LAPTOP")</f>
        <v>0</v>
      </c>
      <c r="V13" s="33">
        <f>SUMIFS(E2:E21, C2:C21, "NORTH", B2:B21, "MONITOR")</f>
        <v>77482</v>
      </c>
      <c r="W13" s="33">
        <f>SUMIFS(E2:E21, C2:C21, "NORTH", B2:B21, "MOUSE")</f>
        <v>19757</v>
      </c>
      <c r="X13" s="33">
        <f>SUMIFS(E2:E21, C2:C21, "NORTH", B2:B21, "PRINTER")</f>
        <v>0</v>
      </c>
    </row>
    <row r="14" spans="1:26" ht="29.4" thickBot="1" x14ac:dyDescent="0.35">
      <c r="A14" s="3">
        <v>2013</v>
      </c>
      <c r="B14" s="4" t="s">
        <v>61</v>
      </c>
      <c r="C14" s="4" t="s">
        <v>49</v>
      </c>
      <c r="D14" s="4" t="s">
        <v>62</v>
      </c>
      <c r="E14" s="4">
        <v>15560</v>
      </c>
      <c r="F14" s="5">
        <v>45107</v>
      </c>
      <c r="I14" s="3">
        <v>2004</v>
      </c>
      <c r="J14" s="4" t="s">
        <v>44</v>
      </c>
      <c r="K14" s="4" t="s">
        <v>49</v>
      </c>
      <c r="L14" s="4" t="s">
        <v>50</v>
      </c>
      <c r="M14" s="4">
        <v>5264</v>
      </c>
      <c r="N14" s="23">
        <v>44930</v>
      </c>
      <c r="O14" s="24" t="str">
        <f t="shared" si="0"/>
        <v>No Discount</v>
      </c>
      <c r="S14" s="33" t="s">
        <v>89</v>
      </c>
      <c r="T14" s="33">
        <f>SUMIFS(E2:E21, C2:C21, "SOUTH", B2:B21, "Keyboard")</f>
        <v>42233</v>
      </c>
      <c r="U14" s="33">
        <f>SUMIFS(E2:E21, C2:C21, "SOUTH", B2:B21, "LAPTOP")</f>
        <v>7283</v>
      </c>
      <c r="V14" s="33">
        <f>SUMIFS(E2:E21, C2:C21, "SOUTH", B2:B21, "MONITOR")</f>
        <v>0</v>
      </c>
      <c r="W14" s="33">
        <f>SUMIFS(E2:E21, C2:C21, "SOUTH", B2:B21, "MOUSE")</f>
        <v>23672</v>
      </c>
      <c r="X14" s="33">
        <f>SUMIFS(E2:E21, C2:C21, "SOUTH", B2:B21, "PRINTER")</f>
        <v>0</v>
      </c>
    </row>
    <row r="15" spans="1:26" ht="29.4" thickBot="1" x14ac:dyDescent="0.35">
      <c r="A15" s="3">
        <v>2014</v>
      </c>
      <c r="B15" s="4" t="s">
        <v>61</v>
      </c>
      <c r="C15" s="4" t="s">
        <v>42</v>
      </c>
      <c r="D15" s="4" t="s">
        <v>63</v>
      </c>
      <c r="E15" s="4">
        <v>7283</v>
      </c>
      <c r="F15" s="5">
        <v>45122</v>
      </c>
      <c r="I15" s="3">
        <v>2005</v>
      </c>
      <c r="J15" s="4" t="s">
        <v>41</v>
      </c>
      <c r="K15" s="4" t="s">
        <v>51</v>
      </c>
      <c r="L15" s="4" t="s">
        <v>52</v>
      </c>
      <c r="M15" s="4">
        <v>43388</v>
      </c>
      <c r="N15" s="23">
        <v>44931</v>
      </c>
      <c r="O15" s="24" t="str">
        <f t="shared" si="0"/>
        <v>Discount Eligible</v>
      </c>
      <c r="S15" s="33" t="s">
        <v>90</v>
      </c>
      <c r="T15" s="33">
        <f>SUMIFS(E2:E21, C2:C21, "EAST", B2:B21, "Keyboard")</f>
        <v>80349</v>
      </c>
      <c r="U15" s="33">
        <f>SUMIFS(E2:E21, C2:C21, "EAST", B2:B21, "LAPTOP")</f>
        <v>31238</v>
      </c>
      <c r="V15" s="33">
        <f>SUMIFS(E2:E21, C2:C21, "EAST", B2:B21, "MONITOR")</f>
        <v>0</v>
      </c>
      <c r="W15" s="33">
        <f>SUMIFS(E2:E21, C2:C21, "EAST", B2:B21, "MOUSE")</f>
        <v>37335</v>
      </c>
      <c r="X15" s="33">
        <f>SUMIFS(E2:E21, C2:C21, "EAST", B2:B21, "PRINTER")</f>
        <v>25010</v>
      </c>
    </row>
    <row r="16" spans="1:26" ht="29.4" thickBot="1" x14ac:dyDescent="0.35">
      <c r="A16" s="3">
        <v>2015</v>
      </c>
      <c r="B16" s="4" t="s">
        <v>61</v>
      </c>
      <c r="C16" s="4" t="s">
        <v>49</v>
      </c>
      <c r="D16" s="4" t="s">
        <v>64</v>
      </c>
      <c r="E16" s="4">
        <v>15678</v>
      </c>
      <c r="F16" s="5">
        <v>45137</v>
      </c>
      <c r="I16" s="3">
        <v>2006</v>
      </c>
      <c r="J16" s="4" t="s">
        <v>47</v>
      </c>
      <c r="K16" s="4" t="s">
        <v>51</v>
      </c>
      <c r="L16" s="4" t="s">
        <v>53</v>
      </c>
      <c r="M16" s="4">
        <v>19757</v>
      </c>
      <c r="N16" s="23">
        <v>44932</v>
      </c>
      <c r="O16" s="24" t="str">
        <f t="shared" si="0"/>
        <v>Discount Eligible</v>
      </c>
      <c r="S16" s="33" t="s">
        <v>91</v>
      </c>
      <c r="T16" s="33">
        <f>SUMIFS(E2:E21, C2:C21, "WEST", B2:B21, "Keyboard")</f>
        <v>0</v>
      </c>
      <c r="U16" s="33">
        <f>SUMIFS(E2:E21, C2:C21, "WEST", B2:B21, "LAPTOP")</f>
        <v>0</v>
      </c>
      <c r="V16" s="33">
        <f>SUMIFS(E2:E21, C2:C21, "WEST", B2:B21, "MONITOR")</f>
        <v>38161</v>
      </c>
      <c r="W16" s="33">
        <f>SUMIFS(E2:E21, C2:C21, "WEST", B2:B21, "MOUSE")</f>
        <v>30436</v>
      </c>
      <c r="X16" s="33">
        <f>SUMIFS(E2:E21, C2:C21, "WEST", B2:B21, "PRINTER")</f>
        <v>51381</v>
      </c>
    </row>
    <row r="17" spans="1:15" ht="29.4" thickBot="1" x14ac:dyDescent="0.35">
      <c r="A17" s="3">
        <v>2016</v>
      </c>
      <c r="B17" s="4" t="s">
        <v>47</v>
      </c>
      <c r="C17" s="4" t="s">
        <v>49</v>
      </c>
      <c r="D17" s="4" t="s">
        <v>65</v>
      </c>
      <c r="E17" s="4">
        <v>5277</v>
      </c>
      <c r="F17" s="5">
        <v>45152</v>
      </c>
      <c r="I17" s="3">
        <v>2007</v>
      </c>
      <c r="J17" s="4" t="s">
        <v>47</v>
      </c>
      <c r="K17" s="4" t="s">
        <v>49</v>
      </c>
      <c r="L17" s="4" t="s">
        <v>54</v>
      </c>
      <c r="M17" s="4">
        <v>32058</v>
      </c>
      <c r="N17" s="23">
        <v>44933</v>
      </c>
      <c r="O17" s="24" t="str">
        <f t="shared" si="0"/>
        <v>Discount Eligible</v>
      </c>
    </row>
    <row r="18" spans="1:15" ht="29.4" thickBot="1" x14ac:dyDescent="0.35">
      <c r="A18" s="3">
        <v>2017</v>
      </c>
      <c r="B18" s="4" t="s">
        <v>59</v>
      </c>
      <c r="C18" s="4" t="s">
        <v>51</v>
      </c>
      <c r="D18" s="4" t="s">
        <v>66</v>
      </c>
      <c r="E18" s="4">
        <v>41871</v>
      </c>
      <c r="F18" s="5">
        <v>45167</v>
      </c>
      <c r="I18" s="3">
        <v>2008</v>
      </c>
      <c r="J18" s="4" t="s">
        <v>41</v>
      </c>
      <c r="K18" s="4" t="s">
        <v>49</v>
      </c>
      <c r="L18" s="4" t="s">
        <v>55</v>
      </c>
      <c r="M18" s="4">
        <v>46429</v>
      </c>
      <c r="N18" s="23">
        <v>44934</v>
      </c>
      <c r="O18" s="24" t="str">
        <f t="shared" si="0"/>
        <v>Discount Eligible</v>
      </c>
    </row>
    <row r="19" spans="1:15" ht="29.4" thickBot="1" x14ac:dyDescent="0.35">
      <c r="A19" s="3">
        <v>2018</v>
      </c>
      <c r="B19" s="4" t="s">
        <v>59</v>
      </c>
      <c r="C19" s="4" t="s">
        <v>45</v>
      </c>
      <c r="D19" s="4" t="s">
        <v>67</v>
      </c>
      <c r="E19" s="4">
        <v>38161</v>
      </c>
      <c r="F19" s="5">
        <v>45182</v>
      </c>
      <c r="I19" s="3">
        <v>2009</v>
      </c>
      <c r="J19" s="4" t="s">
        <v>44</v>
      </c>
      <c r="K19" s="4" t="s">
        <v>49</v>
      </c>
      <c r="L19" s="4" t="s">
        <v>56</v>
      </c>
      <c r="M19" s="4">
        <v>19746</v>
      </c>
      <c r="N19" s="23">
        <v>44935</v>
      </c>
      <c r="O19" s="24" t="str">
        <f t="shared" si="0"/>
        <v>No Discount</v>
      </c>
    </row>
    <row r="20" spans="1:15" ht="29.4" thickBot="1" x14ac:dyDescent="0.35">
      <c r="A20" s="3">
        <v>2019</v>
      </c>
      <c r="B20" s="4" t="s">
        <v>47</v>
      </c>
      <c r="C20" s="4" t="s">
        <v>45</v>
      </c>
      <c r="D20" s="4" t="s">
        <v>68</v>
      </c>
      <c r="E20" s="4">
        <v>30436</v>
      </c>
      <c r="F20" s="5">
        <v>45197</v>
      </c>
      <c r="I20" s="3">
        <v>2010</v>
      </c>
      <c r="J20" s="4" t="s">
        <v>41</v>
      </c>
      <c r="K20" s="4" t="s">
        <v>42</v>
      </c>
      <c r="L20" s="4" t="s">
        <v>57</v>
      </c>
      <c r="M20" s="4">
        <v>35185</v>
      </c>
      <c r="N20" s="23">
        <v>44936</v>
      </c>
      <c r="O20" s="24" t="str">
        <f t="shared" si="0"/>
        <v>Discount Eligible</v>
      </c>
    </row>
    <row r="21" spans="1:15" ht="29.4" thickBot="1" x14ac:dyDescent="0.35">
      <c r="A21" s="3">
        <v>2020</v>
      </c>
      <c r="B21" s="4" t="s">
        <v>44</v>
      </c>
      <c r="C21" s="4" t="s">
        <v>45</v>
      </c>
      <c r="D21" s="4" t="s">
        <v>69</v>
      </c>
      <c r="E21" s="4">
        <v>33953</v>
      </c>
      <c r="F21" s="5">
        <v>45212</v>
      </c>
      <c r="I21" s="3">
        <v>2011</v>
      </c>
      <c r="J21" s="4" t="s">
        <v>41</v>
      </c>
      <c r="K21" s="4" t="s">
        <v>49</v>
      </c>
      <c r="L21" s="4" t="s">
        <v>58</v>
      </c>
      <c r="M21" s="4">
        <v>33920</v>
      </c>
      <c r="N21" s="23">
        <v>44937</v>
      </c>
      <c r="O21" s="24" t="str">
        <f t="shared" si="0"/>
        <v>Discount Eligible</v>
      </c>
    </row>
    <row r="22" spans="1:15" ht="29.4" thickBot="1" x14ac:dyDescent="0.35">
      <c r="I22" s="3">
        <v>2012</v>
      </c>
      <c r="J22" s="4" t="s">
        <v>59</v>
      </c>
      <c r="K22" s="4" t="s">
        <v>51</v>
      </c>
      <c r="L22" s="4" t="s">
        <v>60</v>
      </c>
      <c r="M22" s="4">
        <v>35611</v>
      </c>
      <c r="N22" s="23">
        <v>44938</v>
      </c>
      <c r="O22" s="24" t="str">
        <f t="shared" si="0"/>
        <v>No Discount</v>
      </c>
    </row>
    <row r="23" spans="1:15" ht="29.4" thickBot="1" x14ac:dyDescent="0.35">
      <c r="I23" s="3">
        <v>2013</v>
      </c>
      <c r="J23" s="4" t="s">
        <v>61</v>
      </c>
      <c r="K23" s="4" t="s">
        <v>49</v>
      </c>
      <c r="L23" s="4" t="s">
        <v>62</v>
      </c>
      <c r="M23" s="4">
        <v>15560</v>
      </c>
      <c r="N23" s="23">
        <v>44939</v>
      </c>
      <c r="O23" s="24" t="str">
        <f t="shared" si="0"/>
        <v>Discount Eligible</v>
      </c>
    </row>
    <row r="24" spans="1:15" ht="29.4" thickBot="1" x14ac:dyDescent="0.35">
      <c r="I24" s="3">
        <v>2014</v>
      </c>
      <c r="J24" s="4" t="s">
        <v>61</v>
      </c>
      <c r="K24" s="4" t="s">
        <v>42</v>
      </c>
      <c r="L24" s="4" t="s">
        <v>63</v>
      </c>
      <c r="M24" s="4">
        <v>7283</v>
      </c>
      <c r="N24" s="23">
        <v>44940</v>
      </c>
      <c r="O24" s="24" t="str">
        <f t="shared" si="0"/>
        <v>No Discount</v>
      </c>
    </row>
    <row r="25" spans="1:15" ht="29.4" thickBot="1" x14ac:dyDescent="0.35">
      <c r="I25" s="3">
        <v>2015</v>
      </c>
      <c r="J25" s="4" t="s">
        <v>61</v>
      </c>
      <c r="K25" s="4" t="s">
        <v>49</v>
      </c>
      <c r="L25" s="4" t="s">
        <v>64</v>
      </c>
      <c r="M25" s="4">
        <v>15678</v>
      </c>
      <c r="N25" s="23">
        <v>44941</v>
      </c>
      <c r="O25" s="24" t="str">
        <f t="shared" si="0"/>
        <v>Discount Eligible</v>
      </c>
    </row>
    <row r="26" spans="1:15" ht="29.4" thickBot="1" x14ac:dyDescent="0.35">
      <c r="I26" s="3">
        <v>2016</v>
      </c>
      <c r="J26" s="4" t="s">
        <v>47</v>
      </c>
      <c r="K26" s="4" t="s">
        <v>49</v>
      </c>
      <c r="L26" s="4" t="s">
        <v>65</v>
      </c>
      <c r="M26" s="4">
        <v>5277</v>
      </c>
      <c r="N26" s="23">
        <v>44942</v>
      </c>
      <c r="O26" s="24" t="str">
        <f t="shared" si="0"/>
        <v>No Discount</v>
      </c>
    </row>
    <row r="27" spans="1:15" ht="29.4" thickBot="1" x14ac:dyDescent="0.35">
      <c r="I27" s="3">
        <v>2017</v>
      </c>
      <c r="J27" s="4" t="s">
        <v>59</v>
      </c>
      <c r="K27" s="4" t="s">
        <v>51</v>
      </c>
      <c r="L27" s="4" t="s">
        <v>66</v>
      </c>
      <c r="M27" s="4">
        <v>41871</v>
      </c>
      <c r="N27" s="23">
        <v>44943</v>
      </c>
      <c r="O27" s="24" t="str">
        <f t="shared" si="0"/>
        <v>No Discount</v>
      </c>
    </row>
    <row r="28" spans="1:15" ht="29.4" thickBot="1" x14ac:dyDescent="0.35">
      <c r="I28" s="3">
        <v>2018</v>
      </c>
      <c r="J28" s="4" t="s">
        <v>59</v>
      </c>
      <c r="K28" s="4" t="s">
        <v>45</v>
      </c>
      <c r="L28" s="4" t="s">
        <v>67</v>
      </c>
      <c r="M28" s="4">
        <v>38161</v>
      </c>
      <c r="N28" s="23">
        <v>44944</v>
      </c>
      <c r="O28" s="24" t="str">
        <f t="shared" si="0"/>
        <v>No Discount</v>
      </c>
    </row>
    <row r="29" spans="1:15" ht="29.4" thickBot="1" x14ac:dyDescent="0.35">
      <c r="I29" s="3">
        <v>2019</v>
      </c>
      <c r="J29" s="4" t="s">
        <v>47</v>
      </c>
      <c r="K29" s="4" t="s">
        <v>45</v>
      </c>
      <c r="L29" s="4" t="s">
        <v>68</v>
      </c>
      <c r="M29" s="4">
        <v>30436</v>
      </c>
      <c r="N29" s="23">
        <v>44945</v>
      </c>
      <c r="O29" s="24" t="str">
        <f t="shared" si="0"/>
        <v>Discount Eligible</v>
      </c>
    </row>
    <row r="30" spans="1:15" ht="29.4" thickBot="1" x14ac:dyDescent="0.35">
      <c r="I30" s="3">
        <v>2020</v>
      </c>
      <c r="J30" s="4" t="s">
        <v>44</v>
      </c>
      <c r="K30" s="4" t="s">
        <v>45</v>
      </c>
      <c r="L30" s="4" t="s">
        <v>69</v>
      </c>
      <c r="M30" s="4">
        <v>33953</v>
      </c>
      <c r="N30" s="23">
        <v>44946</v>
      </c>
      <c r="O30" s="24" t="str">
        <f t="shared" si="0"/>
        <v>No Discount</v>
      </c>
    </row>
  </sheetData>
  <mergeCells count="3">
    <mergeCell ref="I1:P1"/>
    <mergeCell ref="I8:P8"/>
    <mergeCell ref="S10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GRADE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Om</dc:creator>
  <cp:lastModifiedBy>Joshi Om</cp:lastModifiedBy>
  <dcterms:created xsi:type="dcterms:W3CDTF">2026-10-23T05:22:42Z</dcterms:created>
  <dcterms:modified xsi:type="dcterms:W3CDTF">2026-10-23T11:52:58Z</dcterms:modified>
</cp:coreProperties>
</file>